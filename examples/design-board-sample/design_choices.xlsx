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总览" sheetId="1" state="visible" r:id="rId1"/>
    <sheet xmlns:r="http://schemas.openxmlformats.org/officeDocument/2006/relationships" name="01_待决策" sheetId="2" state="visible" r:id="rId2"/>
    <sheet xmlns:r="http://schemas.openxmlformats.org/officeDocument/2006/relationships" name="02_权重" sheetId="3" state="visible" r:id="rId3"/>
    <sheet xmlns:r="http://schemas.openxmlformats.org/officeDocument/2006/relationships" name="03_打分" sheetId="4" state="visible" r:id="rId4"/>
    <sheet xmlns:r="http://schemas.openxmlformats.org/officeDocument/2006/relationships" name="04_来源" sheetId="5" state="visible" r:id="rId5"/>
    <sheet xmlns:r="http://schemas.openxmlformats.org/officeDocument/2006/relationships" name="05_批注" sheetId="6" state="visible" r:id="rId6"/>
    <sheet xmlns:r="http://schemas.openxmlformats.org/officeDocument/2006/relationships" name="06_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"/>
      <b val="1"/>
      <color rgb="00111827"/>
      <sz val="14"/>
    </font>
    <font>
      <name val="Microsoft YaHei"/>
      <color rgb="006B7280"/>
      <sz val="9"/>
    </font>
    <font>
      <name val="Microsoft YaHei"/>
      <b val="1"/>
      <color rgb="00FFFFFF"/>
      <sz val="10"/>
    </font>
    <font>
      <name val="Microsoft YaHei"/>
      <b val="1"/>
      <color rgb="00374151"/>
      <sz val="10"/>
    </font>
    <font>
      <name val="Microsoft YaHei"/>
      <color rgb="00111827"/>
      <sz val="10"/>
    </font>
    <font>
      <name val="Microsoft YaHei"/>
      <color rgb="00B45309"/>
      <sz val="9"/>
    </font>
    <font>
      <name val="Microsoft YaHei"/>
      <b val="1"/>
      <sz val="10"/>
    </font>
    <font>
      <name val="Microsoft YaHei"/>
      <color rgb="004B5563"/>
      <sz val="9"/>
    </font>
    <font>
      <name val="Consolas"/>
      <color rgb="00111827"/>
      <sz val="9"/>
    </font>
    <font>
      <name val="Microsoft YaHei"/>
      <sz val="10"/>
    </font>
    <font>
      <name val="Microsoft YaHei"/>
      <b val="1"/>
      <color rgb="007C4A03"/>
      <sz val="10"/>
    </font>
    <font>
      <name val="Consolas"/>
      <b val="1"/>
      <sz val="10"/>
    </font>
    <font>
      <name val="Microsoft YaHei"/>
      <b val="1"/>
      <color rgb="002E7D32"/>
      <sz val="10"/>
    </font>
    <font>
      <name val="Microsoft YaHei"/>
      <color rgb="006B7280"/>
      <sz val="10"/>
    </font>
    <font>
      <name val="Consolas"/>
      <color rgb="002563EB"/>
      <sz val="9"/>
      <u val="single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E8F4EA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pivotButton="0" quotePrefix="0" xfId="0"/>
    <xf numFmtId="0" fontId="4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3" fontId="9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vertical="center" wrapText="1"/>
    </xf>
    <xf numFmtId="10" fontId="9" fillId="4" borderId="1" applyAlignment="1" pivotButton="0" quotePrefix="0" xfId="0">
      <alignment horizontal="right" vertical="center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3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  <xf numFmtId="10" fontId="9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5" fillId="0" borderId="1" pivotButton="0" quotePrefix="0" xfId="0"/>
    <xf numFmtId="9" fontId="11" fillId="5" borderId="1" applyAlignment="1" applyProtection="1" pivotButton="0" quotePrefix="0" xfId="0">
      <alignment horizontal="center" vertical="center"/>
      <protection locked="0" hidden="0"/>
    </xf>
    <xf numFmtId="0" fontId="7" fillId="0" borderId="0" pivotButton="0" quotePrefix="0" xfId="0"/>
    <xf numFmtId="9" fontId="9" fillId="0" borderId="1" applyAlignment="1" pivotButton="0" quotePrefix="0" xfId="0">
      <alignment horizontal="center"/>
    </xf>
    <xf numFmtId="0" fontId="2" fillId="0" borderId="0" pivotButton="0" quotePrefix="0" xfId="0"/>
    <xf numFmtId="0" fontId="12" fillId="4" borderId="0" pivotButton="0" quotePrefix="0" xfId="0"/>
    <xf numFmtId="0" fontId="5" fillId="4" borderId="0" pivotButton="0" quotePrefix="0" xfId="0"/>
    <xf numFmtId="0" fontId="9" fillId="4" borderId="1" applyAlignment="1" applyProtection="1" pivotButton="0" quotePrefix="0" xfId="0">
      <alignment horizontal="center"/>
      <protection locked="0" hidden="0"/>
    </xf>
    <xf numFmtId="2" fontId="12" fillId="4" borderId="1" applyAlignment="1" pivotButton="0" quotePrefix="0" xfId="0">
      <alignment horizontal="center"/>
    </xf>
    <xf numFmtId="0" fontId="13" fillId="4" borderId="1" applyAlignment="1" pivotButton="0" quotePrefix="0" xfId="0">
      <alignment horizontal="center"/>
    </xf>
    <xf numFmtId="0" fontId="12" fillId="0" borderId="0" pivotButton="0" quotePrefix="0" xfId="0"/>
    <xf numFmtId="0" fontId="5" fillId="0" borderId="0" pivotButton="0" quotePrefix="0" xfId="0"/>
    <xf numFmtId="0" fontId="9" fillId="0" borderId="1" applyAlignment="1" applyProtection="1" pivotButton="0" quotePrefix="0" xfId="0">
      <alignment horizontal="center"/>
      <protection locked="0" hidden="0"/>
    </xf>
    <xf numFmtId="2" fontId="12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15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/>
    </xf>
    <xf numFmtId="0" fontId="11" fillId="5" borderId="1" applyAlignment="1" applyProtection="1" pivotButton="0" quotePrefix="0" xfId="0">
      <alignment vertical="top" wrapText="1"/>
      <protection locked="0" hidden="0"/>
    </xf>
    <xf numFmtId="0" fontId="5" fillId="5" borderId="1" applyAlignment="1" applyProtection="1" pivotButton="0" quotePrefix="0" xfId="0">
      <alignment vertical="top" wrapText="1"/>
      <protection locked="0" hidden="0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AI</author>
  </authors>
  <commentList>
    <comment ref="D5" authorId="0" shapeId="0">
      <text>
        <t>来源：方法卡 OPT-01 · CUMCM 2024 · tier_a
可核验：国赛优秀论文展示入口</t>
      </text>
    </comment>
    <comment ref="K5" authorId="0" shapeId="0">
      <text>
        <t>用户第 1 轮把默认的 O2 改成了 O1，并批注：要求给出 LP 松弛下界和 gap。
（来源：design_rounds/round_001.json）</t>
      </text>
    </comment>
    <comment ref="D6" authorId="0" shapeId="0">
      <text>
        <t>来源：方法卡 OPT-02 · MathorCup 2023 · tier_a</t>
      </text>
    </comment>
    <comment ref="D7" authorId="0" shapeId="0">
      <text>
        <t>来源：方法卡 OPT-03 · NPMCM 2022 · tier_b
仅借用采样思想，非多阶段调度本身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s://dxs.moe.gov.cn/zx/hd/sxjm/sxjmlw/qkt_sxjm_lw_lwzs.shtml" TargetMode="External" Id="rId1"/><Relationship Type="http://schemas.openxmlformats.org/officeDocument/2006/relationships/hyperlink" Target="https://www.mathorcup.org/" TargetMode="External" Id="rId2"/><Relationship Type="http://schemas.openxmlformats.org/officeDocument/2006/relationships/hyperlink" Target="https://cpipc.acge.org.cn/cw/hp/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 ht="26" customHeight="1">
      <c r="A1" s="1" t="inlineStr">
        <is>
          <t>建模方案决策板 · 绿色生产计划</t>
        </is>
      </c>
    </row>
    <row r="2" ht="18" customHeight="1">
      <c r="A2" s="2" t="inlineStr">
        <is>
          <t>由 design_board.json 渲染生成；本工作簿只作为输入通道，JSON 才是唯一真实来源。</t>
        </is>
      </c>
    </row>
    <row r="4">
      <c r="A4" s="3" t="inlineStr">
        <is>
          <t>项目</t>
        </is>
      </c>
      <c r="B4" s="3" t="inlineStr">
        <is>
          <t>内容</t>
        </is>
      </c>
    </row>
    <row r="5" ht="38" customHeight="1">
      <c r="A5" s="4" t="inlineStr">
        <is>
          <t>题目</t>
        </is>
      </c>
      <c r="B5" s="5" t="inlineStr">
        <is>
          <t>绿色生产计划：在工时 120h、材料 160kg、碳排 70kg 上限内，确定 A/B 产品非负整数产量，使总利润最大</t>
        </is>
      </c>
    </row>
    <row r="6" ht="24" customHeight="1">
      <c r="A6" s="4" t="inlineStr">
        <is>
          <t>决策板 ID</t>
        </is>
      </c>
      <c r="B6" s="5" t="inlineStr">
        <is>
          <t>b-2026-10-19-green-production</t>
        </is>
      </c>
    </row>
    <row r="7" ht="24" customHeight="1">
      <c r="A7" s="4" t="inlineStr">
        <is>
          <t>当前轮次</t>
        </is>
      </c>
      <c r="B7" s="5" t="inlineStr">
        <is>
          <t>第 2 轮（已确认）</t>
        </is>
      </c>
    </row>
    <row r="8" ht="24" customHeight="1">
      <c r="A8" s="4" t="inlineStr">
        <is>
          <t>确认时间</t>
        </is>
      </c>
      <c r="B8" s="5" t="inlineStr">
        <is>
          <t>2026-10-19 22:10</t>
        </is>
      </c>
    </row>
    <row r="9" ht="24" customHeight="1">
      <c r="A9" s="4" t="inlineStr">
        <is>
          <t>确认来源</t>
        </is>
      </c>
      <c r="B9" s="5" t="inlineStr">
        <is>
          <t>browser-submit</t>
        </is>
      </c>
    </row>
    <row r="10" ht="24" customHeight="1">
      <c r="A10" s="4" t="inlineStr">
        <is>
          <t>待决项</t>
        </is>
      </c>
      <c r="B10" s="5" t="inlineStr">
        <is>
          <t>0 项</t>
        </is>
      </c>
    </row>
    <row r="11" ht="24" customHeight="1">
      <c r="A11" s="4" t="inlineStr">
        <is>
          <t>收敛状态</t>
        </is>
      </c>
      <c r="B11" s="5" t="inlineStr">
        <is>
          <t>已收敛（连续 2 轮用户未修改）</t>
        </is>
      </c>
    </row>
    <row r="12" ht="24" customHeight="1">
      <c r="A12" s="4" t="inlineStr">
        <is>
          <t>选定方案</t>
        </is>
      </c>
      <c r="B12" s="5" t="inlineStr">
        <is>
          <t>O1 整数线性规划（枚举）</t>
        </is>
      </c>
    </row>
    <row r="13" ht="24" customHeight="1">
      <c r="A13" s="4" t="inlineStr">
        <is>
          <t>最优目标值</t>
        </is>
      </c>
      <c r="B13" s="5" t="inlineStr">
        <is>
          <t>2175 元（x_a = 20, x_b = 25）</t>
        </is>
      </c>
    </row>
    <row r="14" ht="24" customHeight="1">
      <c r="A14" s="4" t="inlineStr">
        <is>
          <t>最优性 gap</t>
        </is>
      </c>
      <c r="B14" s="5" t="inlineStr">
        <is>
          <t>0（LP 松弛下界 = 2175 = ILP 最优）</t>
        </is>
      </c>
    </row>
    <row r="16" ht="32" customHeight="1">
      <c r="A16" s="6" t="inlineStr">
        <is>
          <t>⚠ 请在【01_待决策】的黄底单元格里修改。改完 Ctrl+S 保存，再让 AI 运行 `python tools/design_board.py ingest --from design_choices.xlsx`。</t>
        </is>
      </c>
    </row>
  </sheetData>
  <mergeCells count="3">
    <mergeCell ref="A16:B16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40" customWidth="1" min="4" max="4"/>
    <col width="18" customWidth="1" min="5" max="5"/>
    <col width="26" customWidth="1" min="6" max="6"/>
    <col width="34" customWidth="1" min="7" max="7"/>
    <col width="12" customWidth="1" min="8" max="8"/>
    <col width="16" customWidth="1" min="9" max="9"/>
    <col width="8" customWidth="1" min="10" max="10"/>
    <col width="16" customWidth="1" min="11" max="11"/>
  </cols>
  <sheetData>
    <row r="1" ht="26" customHeight="1">
      <c r="A1" s="1" t="inlineStr">
        <is>
          <t>待决策项（黄底可改）</t>
        </is>
      </c>
    </row>
    <row r="2" ht="18" customHeight="1">
      <c r="A2" s="2" t="inlineStr">
        <is>
          <t>下拉框只能选已列出的候选；灰底为只读说明。选定后 gap 与试算值会保持为真实计算结果。</t>
        </is>
      </c>
    </row>
    <row r="4" ht="30" customHeight="1">
      <c r="A4" s="7" t="inlineStr">
        <is>
          <t>小问</t>
        </is>
      </c>
      <c r="B4" s="7" t="inlineStr">
        <is>
          <t>候选方案</t>
        </is>
      </c>
      <c r="C4" s="7" t="inlineStr">
        <is>
          <t>推荐度</t>
        </is>
      </c>
      <c r="D4" s="7" t="inlineStr">
        <is>
          <t>一句话理由</t>
        </is>
      </c>
      <c r="E4" s="7" t="inlineStr">
        <is>
          <t>适用条件</t>
        </is>
      </c>
      <c r="F4" s="7" t="inlineStr">
        <is>
          <t>复杂度 / 实测</t>
        </is>
      </c>
      <c r="G4" s="7" t="inlineStr">
        <is>
          <t>主要风险</t>
        </is>
      </c>
      <c r="H4" s="7" t="inlineStr">
        <is>
          <t>试算目标值</t>
        </is>
      </c>
      <c r="I4" s="7" t="inlineStr">
        <is>
          <t>试算解</t>
        </is>
      </c>
      <c r="J4" s="7" t="inlineStr">
        <is>
          <t>gap</t>
        </is>
      </c>
      <c r="K4" s="7" t="inlineStr">
        <is>
          <t>▶ 你的选择</t>
        </is>
      </c>
    </row>
    <row r="5" ht="40" customHeight="1">
      <c r="A5" s="8" t="inlineStr">
        <is>
          <t>问题一</t>
        </is>
      </c>
      <c r="B5" s="9" t="inlineStr">
        <is>
          <t>O1 · 整数线性规划（枚举）</t>
        </is>
      </c>
      <c r="C5" s="10" t="inlineStr">
        <is>
          <t>🟢 推荐</t>
        </is>
      </c>
      <c r="D5" s="11" t="inlineStr">
        <is>
          <t>可行域仅 1071 个整点，毫秒级枚举即可证明全局最优</t>
        </is>
      </c>
      <c r="E5" s="12" t="inlineStr">
        <is>
          <t>✅ 整数变量 + 线性约束</t>
        </is>
      </c>
      <c r="F5" s="12" t="inlineStr">
        <is>
          <t>O(1071) / 4.27 ms</t>
        </is>
      </c>
      <c r="G5" s="12" t="inlineStr">
        <is>
          <t>规模到 1e5 需换 HiGHS/CBC</t>
        </is>
      </c>
      <c r="H5" s="13" t="n">
        <v>2175</v>
      </c>
      <c r="I5" s="14" t="inlineStr">
        <is>
          <t>x_a=20, x_b=25</t>
        </is>
      </c>
      <c r="J5" s="15" t="n">
        <v>0</v>
      </c>
      <c r="K5" s="16" t="inlineStr">
        <is>
          <t>O1</t>
        </is>
      </c>
    </row>
    <row r="6" ht="40" customHeight="1">
      <c r="A6" s="17" t="inlineStr">
        <is>
          <t>问题一</t>
        </is>
      </c>
      <c r="B6" s="18" t="inlineStr">
        <is>
          <t>O2 · 贪心 + 爬山局部搜索</t>
        </is>
      </c>
      <c r="C6" s="19" t="inlineStr">
        <is>
          <t>⚪ 备选</t>
        </is>
      </c>
      <c r="D6" s="5" t="inlineStr">
        <is>
          <t>实现最简单、可解释，适合作为 baseline</t>
        </is>
      </c>
      <c r="E6" s="20" t="inlineStr">
        <is>
          <t>⚠️ 无最优性保证</t>
        </is>
      </c>
      <c r="F6" s="20" t="inlineStr">
        <is>
          <t>O(n) / 0.037 ms</t>
        </is>
      </c>
      <c r="G6" s="20" t="inlineStr">
        <is>
          <t>局部最优，无法回答 gap</t>
        </is>
      </c>
      <c r="H6" s="21" t="n">
        <v>2120</v>
      </c>
      <c r="I6" s="22" t="inlineStr">
        <is>
          <t>x_a=53, x_b=0</t>
        </is>
      </c>
      <c r="J6" s="23" t="n">
        <v>0.0253</v>
      </c>
      <c r="K6" s="16" t="n"/>
    </row>
    <row r="7" ht="40" customHeight="1">
      <c r="A7" s="17" t="inlineStr">
        <is>
          <t>问题一</t>
        </is>
      </c>
      <c r="B7" s="18" t="inlineStr">
        <is>
          <t>O3 · 随机采样 100 个可行解</t>
        </is>
      </c>
      <c r="C7" s="19" t="inlineStr">
        <is>
          <t>⚪ 备选</t>
        </is>
      </c>
      <c r="D7" s="5" t="inlineStr">
        <is>
          <t>无需建模，快速估计可行域量级</t>
        </is>
      </c>
      <c r="E7" s="20" t="inlineStr">
        <is>
          <t>❌ 结果随种子变化</t>
        </is>
      </c>
      <c r="F7" s="20" t="inlineStr">
        <is>
          <t>O(N) / 4.24 ms</t>
        </is>
      </c>
      <c r="G7" s="20" t="inlineStr">
        <is>
          <t>无法论证解的最优性</t>
        </is>
      </c>
      <c r="H7" s="21" t="n">
        <v>2170</v>
      </c>
      <c r="I7" s="22" t="inlineStr">
        <is>
          <t>x_a=24, x_b=22（seed=42）</t>
        </is>
      </c>
      <c r="J7" s="23" t="n">
        <v>0.0023</v>
      </c>
      <c r="K7" s="16" t="n"/>
    </row>
    <row r="11">
      <c r="A11" s="24" t="inlineStr">
        <is>
          <t>说明：试算数值来自真实计算（见 mini_trials.json）。复跑命令：python solution.py --method enum|greedy|sample。灰底列为只读，黄底为你的输入区。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2:K2"/>
    <mergeCell ref="A11:K11"/>
    <mergeCell ref="A1:K1"/>
  </mergeCells>
  <conditionalFormatting sqref="H5:H7">
    <cfRule type="dataBar" priority="1">
      <dataBar showValue="1">
        <cfvo type="num" val="2000"/>
        <cfvo type="num" val="2200"/>
        <color rgb="002E7D32"/>
      </dataBar>
    </cfRule>
  </conditionalFormatting>
  <conditionalFormatting sqref="J5:J7">
    <cfRule type="colorScale" priority="2">
      <colorScale>
        <cfvo type="num" val="0"/>
        <cfvo type="num" val="0.01"/>
        <cfvo type="num" val="0.03"/>
        <color rgb="00C6EFCE"/>
        <color rgb="00FFEB9C"/>
        <color rgb="00FFC7CE"/>
      </colorScale>
    </cfRule>
  </conditionalFormatting>
  <dataValidations count="1">
    <dataValidation sqref="K5:K9" showDropDown="0" showInputMessage="0" showErrorMessage="0" allowBlank="0" errorTitle="无效选择" error="只能选 O1 / O2 / O3" promptTitle="选择方案" prompt="从下拉中选一个候选 ID" type="list">
      <formula1>"O1,O2,O3"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 ht="26" customHeight="1">
      <c r="A1" s="1" t="inlineStr">
        <is>
          <t>方案打分权重（可选调整）</t>
        </is>
      </c>
    </row>
    <row r="2" ht="18" customHeight="1">
      <c r="A2" s="2" t="inlineStr">
        <is>
          <t>改数字后可在 03_打分 中看到总分变化；默认已给出 AI 建议权重。</t>
        </is>
      </c>
    </row>
    <row r="4" ht="30" customHeight="1">
      <c r="A4" s="7" t="inlineStr">
        <is>
          <t>评分维度</t>
        </is>
      </c>
      <c r="B4" s="7" t="inlineStr">
        <is>
          <t>▶ 权重</t>
        </is>
      </c>
      <c r="C4" s="7" t="inlineStr">
        <is>
          <t>为什么要打这个维度</t>
        </is>
      </c>
    </row>
    <row r="5" ht="24" customHeight="1">
      <c r="A5" s="25" t="inlineStr">
        <is>
          <t>可证明最优性</t>
        </is>
      </c>
      <c r="B5" s="26" t="n">
        <v>0.35</v>
      </c>
      <c r="C5" s="20" t="inlineStr">
        <is>
          <t>评委最常追问 gap，能证明最优的方案加分最多</t>
        </is>
      </c>
    </row>
    <row r="6" ht="24" customHeight="1">
      <c r="A6" s="25" t="inlineStr">
        <is>
          <t>实现难度</t>
        </is>
      </c>
      <c r="B6" s="26" t="n">
        <v>0.2</v>
      </c>
      <c r="C6" s="20" t="inlineStr">
        <is>
          <t>竞赛时间紧，越易实现越稳</t>
        </is>
      </c>
    </row>
    <row r="7" ht="24" customHeight="1">
      <c r="A7" s="25" t="inlineStr">
        <is>
          <t>可解释性</t>
        </is>
      </c>
      <c r="B7" s="26" t="n">
        <v>0.2</v>
      </c>
      <c r="C7" s="20" t="inlineStr">
        <is>
          <t>论文要讲清楚为什么这样建模</t>
        </is>
      </c>
    </row>
    <row r="8" ht="24" customHeight="1">
      <c r="A8" s="25" t="inlineStr">
        <is>
          <t>计算耗时</t>
        </is>
      </c>
      <c r="B8" s="26" t="n">
        <v>0.15</v>
      </c>
      <c r="C8" s="20" t="inlineStr">
        <is>
          <t>本题规模小，耗时差异对结果影响有限</t>
        </is>
      </c>
    </row>
    <row r="9" ht="24" customHeight="1">
      <c r="A9" s="25" t="inlineStr">
        <is>
          <t>扩展性</t>
        </is>
      </c>
      <c r="B9" s="26" t="n">
        <v>0.1</v>
      </c>
      <c r="C9" s="20" t="inlineStr">
        <is>
          <t>若数据规模放大是否还能用</t>
        </is>
      </c>
    </row>
    <row r="10">
      <c r="A10" s="27" t="inlineStr">
        <is>
          <t>合计</t>
        </is>
      </c>
      <c r="B10" s="28">
        <f>SUM(B5:B9)</f>
        <v/>
      </c>
      <c r="C10" s="29" t="inlineStr">
        <is>
          <t>必须等于 100%，否则请调整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 ht="26" customHeight="1">
      <c r="A1" s="1" t="inlineStr">
        <is>
          <t>方案 × 维度 打分矩阵</t>
        </is>
      </c>
    </row>
    <row r="2" ht="18" customHeight="1">
      <c r="A2" s="2" t="inlineStr">
        <is>
          <t>1-5 分制；加权总分在最后一列自动计算。权重来自 02_权重。</t>
        </is>
      </c>
    </row>
    <row r="4" ht="30" customHeight="1">
      <c r="A4" s="7" t="inlineStr">
        <is>
          <t>方案</t>
        </is>
      </c>
      <c r="B4" s="7" t="inlineStr">
        <is>
          <t>名称</t>
        </is>
      </c>
      <c r="C4" s="7" t="inlineStr">
        <is>
          <t>可证明最优性</t>
        </is>
      </c>
      <c r="D4" s="7" t="inlineStr">
        <is>
          <t>实现难度</t>
        </is>
      </c>
      <c r="E4" s="7" t="inlineStr">
        <is>
          <t>可解释性</t>
        </is>
      </c>
      <c r="F4" s="7" t="inlineStr">
        <is>
          <t>计算耗时</t>
        </is>
      </c>
      <c r="G4" s="7" t="inlineStr">
        <is>
          <t>扩展性</t>
        </is>
      </c>
      <c r="H4" s="7" t="inlineStr">
        <is>
          <t>加权总分</t>
        </is>
      </c>
      <c r="I4" s="7" t="inlineStr">
        <is>
          <t>结论</t>
        </is>
      </c>
    </row>
    <row r="5" ht="24" customHeight="1">
      <c r="A5" s="30" t="inlineStr">
        <is>
          <t>O1</t>
        </is>
      </c>
      <c r="B5" s="31" t="inlineStr">
        <is>
          <t>整数规划（枚举）</t>
        </is>
      </c>
      <c r="C5" s="32" t="n">
        <v>5</v>
      </c>
      <c r="D5" s="32" t="n">
        <v>3</v>
      </c>
      <c r="E5" s="32" t="n">
        <v>5</v>
      </c>
      <c r="F5" s="32" t="n">
        <v>4</v>
      </c>
      <c r="G5" s="32" t="n">
        <v>3</v>
      </c>
      <c r="H5" s="33">
        <f>C5*'02_权重'!$B$5+D5*'02_权重'!$B$6+E5*'02_权重'!$B$7+F5*'02_权重'!$B$8+G5*'02_权重'!$B$9</f>
        <v/>
      </c>
      <c r="I5" s="34" t="inlineStr">
        <is>
          <t>推荐</t>
        </is>
      </c>
    </row>
    <row r="6" ht="24" customHeight="1">
      <c r="A6" s="35" t="inlineStr">
        <is>
          <t>O2</t>
        </is>
      </c>
      <c r="B6" s="36" t="inlineStr">
        <is>
          <t>贪心 + 爬山</t>
        </is>
      </c>
      <c r="C6" s="37" t="n">
        <v>1</v>
      </c>
      <c r="D6" s="37" t="n">
        <v>5</v>
      </c>
      <c r="E6" s="37" t="n">
        <v>4</v>
      </c>
      <c r="F6" s="37" t="n">
        <v>5</v>
      </c>
      <c r="G6" s="37" t="n">
        <v>4</v>
      </c>
      <c r="H6" s="38">
        <f>C6*'02_权重'!$B$5+D6*'02_权重'!$B$6+E6*'02_权重'!$B$7+F6*'02_权重'!$B$8+G6*'02_权重'!$B$9</f>
        <v/>
      </c>
      <c r="I6" s="39" t="inlineStr">
        <is>
          <t>备选</t>
        </is>
      </c>
    </row>
    <row r="7" ht="24" customHeight="1">
      <c r="A7" s="35" t="inlineStr">
        <is>
          <t>O3</t>
        </is>
      </c>
      <c r="B7" s="36" t="inlineStr">
        <is>
          <t>随机采样</t>
        </is>
      </c>
      <c r="C7" s="37" t="n">
        <v>1</v>
      </c>
      <c r="D7" s="37" t="n">
        <v>4</v>
      </c>
      <c r="E7" s="37" t="n">
        <v>2</v>
      </c>
      <c r="F7" s="37" t="n">
        <v>4</v>
      </c>
      <c r="G7" s="37" t="n">
        <v>5</v>
      </c>
      <c r="H7" s="38">
        <f>C7*'02_权重'!$B$5+D7*'02_权重'!$B$6+E7*'02_权重'!$B$7+F7*'02_权重'!$B$8+G7*'02_权重'!$B$9</f>
        <v/>
      </c>
      <c r="I7" s="39" t="inlineStr">
        <is>
          <t>备选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I1"/>
    <mergeCell ref="A2:I2"/>
  </mergeCells>
  <conditionalFormatting sqref="C5:G7">
    <cfRule type="colorScale" priority="1">
      <colorScale>
        <cfvo type="num" val="1"/>
        <cfvo type="num" val="3"/>
        <cfvo type="num" val="5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0" customWidth="1" min="4" max="4"/>
    <col width="10" customWidth="1" min="5" max="5"/>
    <col width="22" customWidth="1" min="6" max="6"/>
    <col width="60" customWidth="1" min="7" max="7"/>
  </cols>
  <sheetData>
    <row r="1" ht="26" customHeight="1">
      <c r="A1" s="1" t="inlineStr">
        <is>
          <t>方法卡来源与可信度分级</t>
        </is>
      </c>
    </row>
    <row r="2" ht="18" customHeight="1">
      <c r="A2" s="2" t="inlineStr">
        <is>
          <t>tier_a = 官方竞赛/组委会材料；tier_b = 教材/综述；tier_c = 原始论文；unverified = 无法核验。</t>
        </is>
      </c>
    </row>
    <row r="4" ht="30" customHeight="1">
      <c r="A4" s="7" t="inlineStr">
        <is>
          <t>方案</t>
        </is>
      </c>
      <c r="B4" s="7" t="inlineStr">
        <is>
          <t>方法卡</t>
        </is>
      </c>
      <c r="C4" s="7" t="inlineStr">
        <is>
          <t>来源比赛</t>
        </is>
      </c>
      <c r="D4" s="7" t="inlineStr">
        <is>
          <t>年份</t>
        </is>
      </c>
      <c r="E4" s="7" t="inlineStr">
        <is>
          <t>tier</t>
        </is>
      </c>
      <c r="F4" s="7" t="inlineStr">
        <is>
          <t>可核验链接</t>
        </is>
      </c>
      <c r="G4" s="7" t="inlineStr">
        <is>
          <t>使用限制</t>
        </is>
      </c>
    </row>
    <row r="5" ht="30" customHeight="1">
      <c r="A5" s="35" t="inlineStr">
        <is>
          <t>O1</t>
        </is>
      </c>
      <c r="B5" s="5" t="inlineStr">
        <is>
          <t>OPT-01 线性规划基线</t>
        </is>
      </c>
      <c r="C5" s="5" t="inlineStr">
        <is>
          <t>高教社杯 CUMCM</t>
        </is>
      </c>
      <c r="D5" s="22" t="n">
        <v>2024</v>
      </c>
      <c r="E5" s="22" t="inlineStr">
        <is>
          <t>tier_a</t>
        </is>
      </c>
      <c r="F5" s="40" t="inlineStr">
        <is>
          <t>https://dxs.moe.gov.cn/zx/hd/sxjm/sxjmlw/qkt_sxjm_lw_lwzs.shtml</t>
        </is>
      </c>
      <c r="G5" s="5" t="inlineStr">
        <is>
          <t>只抽象方法，不复制原作品正文。</t>
        </is>
      </c>
    </row>
    <row r="6" ht="30" customHeight="1">
      <c r="A6" s="35" t="inlineStr">
        <is>
          <t>O2</t>
        </is>
      </c>
      <c r="B6" s="5" t="inlineStr">
        <is>
          <t>OPT-02 整数规划与启发式修复</t>
        </is>
      </c>
      <c r="C6" s="5" t="inlineStr">
        <is>
          <t>MathorCup</t>
        </is>
      </c>
      <c r="D6" s="22" t="n">
        <v>2023</v>
      </c>
      <c r="E6" s="22" t="inlineStr">
        <is>
          <t>tier_a</t>
        </is>
      </c>
      <c r="F6" s="40" t="inlineStr">
        <is>
          <t>https://www.mathorcup.org/</t>
        </is>
      </c>
      <c r="G6" s="5" t="inlineStr">
        <is>
          <t>启发式需配可行性证明，否则易被复现评委质疑。</t>
        </is>
      </c>
    </row>
    <row r="7" ht="30" customHeight="1">
      <c r="A7" s="35" t="inlineStr">
        <is>
          <t>O3</t>
        </is>
      </c>
      <c r="B7" s="5" t="inlineStr">
        <is>
          <t>OPT-03 多阶段调度</t>
        </is>
      </c>
      <c r="C7" s="5" t="inlineStr">
        <is>
          <t>研究生数学建模竞赛 NPMCM</t>
        </is>
      </c>
      <c r="D7" s="22" t="n">
        <v>2022</v>
      </c>
      <c r="E7" s="22" t="inlineStr">
        <is>
          <t>tier_b</t>
        </is>
      </c>
      <c r="F7" s="40" t="inlineStr">
        <is>
          <t>https://cpipc.acge.org.cn/cw/hp/4</t>
        </is>
      </c>
      <c r="G7" s="5" t="inlineStr">
        <is>
          <t>仅借用采样思想，非多阶段调度本身；引用时须说明。</t>
        </is>
      </c>
    </row>
  </sheetData>
  <mergeCells count="2">
    <mergeCell ref="A2:G2"/>
    <mergeCell ref="A1:G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90" customWidth="1" min="3" max="3"/>
  </cols>
  <sheetData>
    <row r="1" ht="26" customHeight="1">
      <c r="A1" s="1" t="inlineStr">
        <is>
          <t>你的补充说明（黄底可改）</t>
        </is>
      </c>
    </row>
    <row r="2" ht="18" customHeight="1">
      <c r="A2" s="2" t="inlineStr">
        <is>
          <t>这里写的任何内容都会原样写入 design_rounds/，并作为下一轮的输入约束。</t>
        </is>
      </c>
    </row>
    <row r="4" ht="30" customHeight="1">
      <c r="A4" s="7" t="inlineStr">
        <is>
          <t>序号</t>
        </is>
      </c>
      <c r="B4" s="7" t="inlineStr">
        <is>
          <t>针对</t>
        </is>
      </c>
      <c r="C4" s="7" t="inlineStr">
        <is>
          <t>你的批注</t>
        </is>
      </c>
    </row>
    <row r="5" ht="34" customHeight="1">
      <c r="A5" s="41" t="n">
        <v>1</v>
      </c>
      <c r="B5" s="25" t="inlineStr">
        <is>
          <t>问题一</t>
        </is>
      </c>
      <c r="C5" s="42" t="inlineStr">
        <is>
          <t>用 O1，但要求给出 LP 松弛下界和 gap，方便写论文时说明最优性。</t>
        </is>
      </c>
    </row>
    <row r="6" ht="34" customHeight="1">
      <c r="A6" s="41" t="n">
        <v>2</v>
      </c>
      <c r="B6" s="25" t="inlineStr">
        <is>
          <t>题意 A2</t>
        </is>
      </c>
      <c r="C6" s="42" t="inlineStr">
        <is>
          <t>碳排上限按全周期总量理解即可，不需要改。</t>
        </is>
      </c>
    </row>
    <row r="7" ht="26" customHeight="1">
      <c r="A7" s="41" t="n">
        <v>3</v>
      </c>
      <c r="B7" s="25" t="inlineStr"/>
      <c r="C7" s="43" t="inlineStr"/>
    </row>
    <row r="8" ht="26" customHeight="1">
      <c r="A8" s="41" t="n">
        <v>4</v>
      </c>
      <c r="B8" s="25" t="inlineStr"/>
      <c r="C8" s="43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6" customHeight="1">
      <c r="A1" s="1" t="inlineStr">
        <is>
          <t>使用说明与限制</t>
        </is>
      </c>
    </row>
    <row r="2" ht="18" customHeight="1">
      <c r="A2" s="2" t="inlineStr">
        <is>
          <t>读完这一页再开始修改，能避免 90% 的返工。</t>
        </is>
      </c>
    </row>
    <row r="4" ht="48" customHeight="1">
      <c r="A4" s="44" t="inlineStr">
        <is>
          <t>怎么用</t>
        </is>
      </c>
      <c r="B4" s="45" t="inlineStr">
        <is>
          <t>① 在 01_待决策 的最后一列下拉选方案；② 在 02_权重 / 03_打分 调权重与打分；③ 在 05_批注 写补充；④ Ctrl+S 保存；⑤ 让 AI 运行 ingest。</t>
        </is>
      </c>
    </row>
    <row r="5" ht="48" customHeight="1">
      <c r="A5" s="44" t="inlineStr">
        <is>
          <t>只读区域</t>
        </is>
      </c>
      <c r="B5" s="45" t="inlineStr">
        <is>
          <t>灰底单元格已在保护状态下的只读区。若需要改，请先解除工作表保护（审阅 → 撤销工作表保护，无密码）。</t>
        </is>
      </c>
    </row>
    <row r="6" ht="48" customHeight="1">
      <c r="A6" s="44" t="inlineStr">
        <is>
          <t>数据从哪来</t>
        </is>
      </c>
      <c r="B6" s="45" t="inlineStr">
        <is>
          <t>01_待决策 的试算数值来自真实计算，见同目录 mini_trials.json；不是估计值。</t>
        </is>
      </c>
    </row>
    <row r="7" ht="48" customHeight="1">
      <c r="A7" s="44" t="inlineStr">
        <is>
          <t>改坏了怎么办</t>
        </is>
      </c>
      <c r="B7" s="45" t="inlineStr">
        <is>
          <t>直接让 AI 重新运行 render 覆盖本文件；已提交的选择保存在 design_rounds/ 里，不会丢。</t>
        </is>
      </c>
    </row>
    <row r="8" ht="48" customHeight="1">
      <c r="A8" s="44" t="inlineStr">
        <is>
          <t>已知限制</t>
        </is>
      </c>
      <c r="B8" s="45" t="inlineStr">
        <is>
          <t>① Excel 不渲染 LaTeX 公式，公式请看 design_board.md；② 导图只能是缩进树，真正的图在 md/html；③ 手机 / 平板打开体验差；④ WPS 打开时部分条件格式可能丢失；⑤ 跨平台字体差异不做嵌入。</t>
        </is>
      </c>
    </row>
    <row r="9" ht="48" customHeight="1">
      <c r="A9" s="44" t="inlineStr">
        <is>
          <t>这不是唯一来源</t>
        </is>
      </c>
      <c r="B9" s="45" t="inlineStr">
        <is>
          <t>design_board.json 才是唯一真实来源。本文件是视图，删掉可由 JSON 重新生成。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2026-10-19T14:31:01Z</dcterms:created>
  <dcterms:modified xmlns:dcterms="http://purl.org/dc/terms/" xmlns:xsi="http://www.w3.org/2001/XMLSchema-instance" xsi:type="dcterms:W3CDTF">2026-10-19T14:31:01Z</dcterms:modified>
</cp:coreProperties>
</file>